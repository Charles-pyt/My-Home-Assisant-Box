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arles\OneDrive\Documents\GitHub\My-Home-Assisant-Box\"/>
    </mc:Choice>
  </mc:AlternateContent>
  <xr:revisionPtr revIDLastSave="0" documentId="13_ncr:1_{B18354B1-4568-4B91-894D-2C7DE18320BC}" xr6:coauthVersionLast="47" xr6:coauthVersionMax="47" xr10:uidLastSave="{00000000-0000-0000-0000-000000000000}"/>
  <bookViews>
    <workbookView xWindow="-119" yWindow="-119" windowWidth="28741" windowHeight="16271" xr2:uid="{00000000-000D-0000-FFFF-FFFF00000000}"/>
  </bookViews>
  <sheets>
    <sheet name="voici tous le matériel necessai" sheetId="1" r:id="rId1"/>
  </sheets>
  <calcPr calcId="181029"/>
</workbook>
</file>

<file path=xl/calcChain.xml><?xml version="1.0" encoding="utf-8"?>
<calcChain xmlns="http://schemas.openxmlformats.org/spreadsheetml/2006/main">
  <c r="F14" i="1" l="1"/>
</calcChain>
</file>

<file path=xl/sharedStrings.xml><?xml version="1.0" encoding="utf-8"?>
<sst xmlns="http://schemas.openxmlformats.org/spreadsheetml/2006/main" count="47" uniqueCount="42">
  <si>
    <t>Item Count</t>
  </si>
  <si>
    <t>Item Name</t>
  </si>
  <si>
    <t>Description</t>
  </si>
  <si>
    <t>Qty</t>
  </si>
  <si>
    <t>Link / Source</t>
  </si>
  <si>
    <t>Cost (in €)</t>
  </si>
  <si>
    <t>Raspberry Pi 4 Model B</t>
  </si>
  <si>
    <t>USB-C Power Supply</t>
  </si>
  <si>
    <t>Official 15W Power Adapter</t>
  </si>
  <si>
    <t>Official power supply 15W USB-C</t>
  </si>
  <si>
    <t>ZigBee Dongle</t>
  </si>
  <si>
    <t>Multiprotocol USB Stick (Matter/Zigbee)</t>
  </si>
  <si>
    <t>Dongle ZigBee-E 3.0</t>
  </si>
  <si>
    <t>Micro SD Card</t>
  </si>
  <si>
    <t>D1 Mini ESP8266</t>
  </si>
  <si>
    <t>Microcontroller for WLED Control</t>
  </si>
  <si>
    <t xml:space="preserve">D1 Mini TYPE-C ESP8266 ESP-12F </t>
  </si>
  <si>
    <t>SK6812 RGBW LED Strip</t>
  </si>
  <si>
    <t>5V Addressable LEDs</t>
  </si>
  <si>
    <t>Led SK6812 RGBW, 5V</t>
  </si>
  <si>
    <t>Noctua NF-A4x10 5V</t>
  </si>
  <si>
    <t>40mm PWM Cooling Fan</t>
  </si>
  <si>
    <t>Noctua NF-A4x10 40mm</t>
  </si>
  <si>
    <t>USB-A Extension Cable</t>
  </si>
  <si>
    <t>0.5m Male to Female (Internal routing)</t>
  </si>
  <si>
    <t>Extension Cable</t>
  </si>
  <si>
    <t>M2.5 Threaded Inserts</t>
  </si>
  <si>
    <t>Brass inserts for case assembly</t>
  </si>
  <si>
    <t>1 pack</t>
  </si>
  <si>
    <t>M2.5x5mm Screws</t>
  </si>
  <si>
    <t>Screws for case assembly</t>
  </si>
  <si>
    <t>10x2mm Magnets</t>
  </si>
  <si>
    <t>Neodymium magnets for lid</t>
  </si>
  <si>
    <t>Custom 3D Printed Case</t>
  </si>
  <si>
    <t>Self-designed PLA/PETG Enclosure</t>
  </si>
  <si>
    <t>Self-made (Legion)</t>
  </si>
  <si>
    <t>N/A</t>
  </si>
  <si>
    <t>TOTAL</t>
  </si>
  <si>
    <t>PNY 16 Go Extreme microSDXC</t>
  </si>
  <si>
    <t>16GB Class 10</t>
  </si>
  <si>
    <t>Raspberry Pi 4B - 2GB</t>
  </si>
  <si>
    <t>Main Server (2GB RAM)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</si>
</sst>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€&quot;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3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ssr/300000512/BundleDeals2?spm=a2g0o.productlist.main.4.26d26c6d5QflP6&amp;productIds=1005005963906770:12000035123663502&amp;pha_manifest=ssr&amp;_immersiveMode=true&amp;disableNav=YES&amp;sourceName=SEARCHProduct&amp;utparam-url=scene%3Asearch%7Cquery_from%3A%7Cx_object_id%3A1005005963906770%7C_p_origin_prod%3A&amp;pvid=4ef0e2ec-dff7-466e-8450-eca2c765915e&amp;_gl=1*u266s5*_gcl_au*MTI5MTY3MzE4Mi4xNzY2NTczNDM2*_ga*MTY2ODk5ODM1NC4xNzY2NTczNDM2*_ga_VED1YSGNC7*czE3NjY1NzM0MzUkbzEkZzEkdDE3NjY1NzM3NjYkajU4JGwwJGgw" TargetMode="External"/><Relationship Id="rId3" Type="http://schemas.openxmlformats.org/officeDocument/2006/relationships/hyperlink" Target="https://www.aliexpress.com/ssr/300000512/BundleDeals2?spm=a2g0o.productlist.main.1.eb0dPcPuPcPu5d&amp;productIds=1005007089589385:12000039362722962&amp;pha_manifest=ssr&amp;_immersiveMode=true&amp;disableNav=YES&amp;sourceName=SEARCHProduct&amp;utparam-url=scene%3Asearch%7Cquery_from%3A%7Cx_object_id%3A1005007089589385%7C_p_origin_prod%3A&amp;pvid=3d0bdb8f-529b-4921-9e84-0c8b055671c6&amp;_gl=1*1uvd6q7*_gcl_au*MTI5MTY3MzE4Mi4xNzY2NTczNDM2*_ga*MTY2ODk5ODM1NC4xNzY2NTczNDM2*_ga_VED1YSGNC7*czE3NjY1NzM0MzUkbzEkZzEkdDE3NjY1NzM5MjQkajUzJGwwJGgw" TargetMode="External"/><Relationship Id="rId7" Type="http://schemas.openxmlformats.org/officeDocument/2006/relationships/hyperlink" Target="https://www.amazon.fr/NF-A4X10-FLX-5V-Ventilateur-ventilateur-refroidisseur/dp/B00NEMGCIA?__mk_fr_FR=%C3%85M%C3%85%C5%BD%C3%95%C3%91&amp;crid=FJM6VLJDF8I4&amp;keywords=noctua%2BNF%2BA4&amp;qid=1652612644&amp;sprefix=noctua%2Bnf%2Ba4%2Caps%2C78&amp;sr=8-1-spons&amp;smid=A38F5RZ72I2JQ&amp;spLa=ZW5jcnlwdGVkUXVhbGlmaWVyPUEzMEFKUDhNUTYzT0dWJmVuY3J5cHRlZElkPUEwMzY0MDAwMVFUQUhaNzFOV1NCQyZlbmNyeXB0ZWRBZElkPUEwMjQ5OTgwM0RROTFCQU5OWlFBTSZ3aWRnZXROYW1lPXNwX2F0ZiZhY3Rpb249Y2xpY2tSZWRpcmVjdCZkb05vdExvZ0NsaWNrPXRydWU%3D&amp;linkCode=sl1&amp;tag=abregepartena-21&amp;linkId=2b651e7c29a1a4f2779885158e0ad575&amp;language=fr_FR&amp;ref_=as_li_ss_tl&amp;th=1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kubii.com/fr/alimentations/2678-1049-alimentation-officielle-153w-usb-c-pour-raspberry-pi-4-400-3272496300002.html" TargetMode="External"/><Relationship Id="rId1" Type="http://schemas.openxmlformats.org/officeDocument/2006/relationships/hyperlink" Target="https://www.kubii.com/fr/cartes-nano-ordinateurs/2771-raspberry-pi-4-modele-b-2gb-5056561800332.html" TargetMode="External"/><Relationship Id="rId6" Type="http://schemas.openxmlformats.org/officeDocument/2006/relationships/hyperlink" Target="https://fr.aliexpress.com/item/32476317187.html?spm=a2g0o.cart.0.0.2b51378dzZaJG4&amp;mp=1&amp;pdp_npi=5%40dis%21EUR%21EUR%209.02%21EUR%206.09%21%21EUR%205.22%21%21%21%40211b876e17665041492372476e4f63%2110000015281489017%21ct%21FR%216452468974%21%211%210&amp;gatewayAdapt=glo2fra" TargetMode="External"/><Relationship Id="rId11" Type="http://schemas.openxmlformats.org/officeDocument/2006/relationships/hyperlink" Target="https://www.aliexpress.com/ssr/300000512/BundleDeals2?spm=a2g0o.productlist.main.1.2ee0LQI0LQI0u8&amp;productIds=1005009716555660:12000049936658669&amp;pha_manifest=ssr&amp;_immersiveMode=true&amp;disableNav=YES&amp;sourceName=SEARCHProduct&amp;utparam-url=scene%3Asearch%7Cquery_from%3A%7Cx_object_id%3A1005009716555660%7C_p_origin_prod%3A&amp;pvid=3314ca24-7a92-4d38-b9f9-56c2852eff60&amp;_gl=1*10l4bfz*_gcl_au*MTI5MTY3MzE4Mi4xNzY2NTczNDM2*_ga*MTY2ODk5ODM1NC4xNzY2NTczNDM2*_ga_VED1YSGNC7*czE3NjY1NzM0MzUkbzEkZzEkdDE3NjY1NzQwOTAkajQ2JGwwJGgw" TargetMode="External"/><Relationship Id="rId5" Type="http://schemas.openxmlformats.org/officeDocument/2006/relationships/hyperlink" Target="https://fr.aliexpress.com/item/1005007877904928.html?spm=a2g0o.cart.0.0.2b51378dzZaJG4&amp;mp=1&amp;pdp_npi=5%40dis%21EUR%21EUR%202.51%21EUR%202.51%21%21EUR%202.51%21%21%21%40211b876e17665041492372476e4f63%2112000042669746256%21ct%21FR%216452468974%21%211%210&amp;gatewayAdapt=glo2fra" TargetMode="External"/><Relationship Id="rId10" Type="http://schemas.openxmlformats.org/officeDocument/2006/relationships/hyperlink" Target="https://www.aliexpress.com/ssr/300000512/BundleDeals2?spm=a2g0o.productlist.main.2.55aeZfPjZfPjr3&amp;productIds=1005007345768217:12000040359433232&amp;pha_manifest=ssr&amp;_immersiveMode=true&amp;disableNav=YES&amp;sourceName=SEARCHProduct&amp;utparam-url=scene%3Asearch%7Cquery_from%3A%7Cx_object_id%3A1005007345768217%7C_p_origin_prod%3A&amp;pvid=44d97078-ae9f-44b0-bdcc-bb62aa439438&amp;_gl=1*16qygfp*_gcl_au*MTI5MTY3MzE4Mi4xNzY2NTczNDM2*_ga*MTY2ODk5ODM1NC4xNzY2NTczNDM2*_ga_VED1YSGNC7*czE3NjY1NzM0MzUkbzEkZzEkdDE3NjY1NzQxNjIkajU5JGwwJGgw" TargetMode="External"/><Relationship Id="rId4" Type="http://schemas.openxmlformats.org/officeDocument/2006/relationships/hyperlink" Target="https://www.amazon.fr/gp/product/B076K93GJ5?smid=A2Z84JVYM3YVET&amp;th=1" TargetMode="External"/><Relationship Id="rId9" Type="http://schemas.openxmlformats.org/officeDocument/2006/relationships/hyperlink" Target="https://www.aliexpress.com/ssr/300000512/BundleDeals2?spm=a2g0o.productlist.main.3.6785HIJbHIJbNa&amp;productIds=1005006351445007:12000036858180035&amp;pha_manifest=ssr&amp;_immersiveMode=true&amp;disableNav=YES&amp;sourceName=SEARCHProduct&amp;utparam-url=scene%3Asearch%7Cquery_from%3A%7Cx_object_id%3A1005006351445007%7C_p_origin_prod%3A&amp;pvid=8daa6700-a0bd-4ce9-9d8d-060a3480a602&amp;_gl=1*16cwo2*_gcl_au*MTI5MTY3MzE4Mi4xNzY2NTczNDM2*_ga*MTY2ODk5ODM1NC4xNzY2NTczNDM2*_ga_VED1YSGNC7*czE3NjY1NzM0MzUkbzEkZzEkdDE3NjY1NzQyMTYkajUkbDAkaDA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14"/>
  <sheetViews>
    <sheetView tabSelected="1" workbookViewId="0">
      <selection activeCell="F3" sqref="F3"/>
    </sheetView>
  </sheetViews>
  <sheetFormatPr baseColWidth="10" defaultColWidth="12.5703125" defaultRowHeight="15.8" customHeight="1" x14ac:dyDescent="0.2"/>
  <cols>
    <col min="1" max="1" width="8.7109375" customWidth="1"/>
    <col min="2" max="2" width="23.5703125" customWidth="1"/>
    <col min="3" max="3" width="30.42578125" customWidth="1"/>
    <col min="5" max="5" width="28.57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1</v>
      </c>
      <c r="B2" s="1" t="s">
        <v>6</v>
      </c>
      <c r="C2" s="1" t="s">
        <v>41</v>
      </c>
      <c r="D2" s="1">
        <v>1</v>
      </c>
      <c r="E2" s="4" t="s">
        <v>40</v>
      </c>
      <c r="F2" s="3">
        <v>51</v>
      </c>
    </row>
    <row r="3" spans="1:6" x14ac:dyDescent="0.2">
      <c r="A3" s="1">
        <v>2</v>
      </c>
      <c r="B3" s="1" t="s">
        <v>7</v>
      </c>
      <c r="C3" s="1" t="s">
        <v>8</v>
      </c>
      <c r="D3" s="1">
        <v>1</v>
      </c>
      <c r="E3" s="2" t="s">
        <v>9</v>
      </c>
      <c r="F3" s="3">
        <v>6.9</v>
      </c>
    </row>
    <row r="4" spans="1:6" x14ac:dyDescent="0.2">
      <c r="A4" s="1">
        <v>3</v>
      </c>
      <c r="B4" s="1" t="s">
        <v>10</v>
      </c>
      <c r="C4" s="1" t="s">
        <v>11</v>
      </c>
      <c r="D4" s="1">
        <v>1</v>
      </c>
      <c r="E4" s="2" t="s">
        <v>12</v>
      </c>
      <c r="F4" s="3">
        <v>20.39</v>
      </c>
    </row>
    <row r="5" spans="1:6" x14ac:dyDescent="0.2">
      <c r="A5" s="1">
        <v>4</v>
      </c>
      <c r="B5" s="1" t="s">
        <v>13</v>
      </c>
      <c r="C5" s="1" t="s">
        <v>39</v>
      </c>
      <c r="D5" s="1">
        <v>1</v>
      </c>
      <c r="E5" s="4" t="s">
        <v>38</v>
      </c>
      <c r="F5" s="3">
        <v>11.26</v>
      </c>
    </row>
    <row r="6" spans="1:6" x14ac:dyDescent="0.2">
      <c r="A6" s="1">
        <v>5</v>
      </c>
      <c r="B6" s="1" t="s">
        <v>14</v>
      </c>
      <c r="C6" s="1" t="s">
        <v>15</v>
      </c>
      <c r="D6" s="1">
        <v>1</v>
      </c>
      <c r="E6" s="2" t="s">
        <v>16</v>
      </c>
      <c r="F6" s="3">
        <v>2.2799999999999998</v>
      </c>
    </row>
    <row r="7" spans="1:6" x14ac:dyDescent="0.2">
      <c r="A7" s="1">
        <v>6</v>
      </c>
      <c r="B7" s="1" t="s">
        <v>17</v>
      </c>
      <c r="C7" s="1" t="s">
        <v>18</v>
      </c>
      <c r="D7" s="1">
        <v>1</v>
      </c>
      <c r="E7" s="2" t="s">
        <v>19</v>
      </c>
      <c r="F7" s="3">
        <v>5.79</v>
      </c>
    </row>
    <row r="8" spans="1:6" x14ac:dyDescent="0.2">
      <c r="A8" s="1">
        <v>7</v>
      </c>
      <c r="B8" s="1" t="s">
        <v>20</v>
      </c>
      <c r="C8" s="1" t="s">
        <v>21</v>
      </c>
      <c r="D8" s="1">
        <v>1</v>
      </c>
      <c r="E8" s="2" t="s">
        <v>22</v>
      </c>
      <c r="F8" s="3">
        <v>15.9</v>
      </c>
    </row>
    <row r="9" spans="1:6" x14ac:dyDescent="0.2">
      <c r="A9" s="1">
        <v>8</v>
      </c>
      <c r="B9" s="1" t="s">
        <v>23</v>
      </c>
      <c r="C9" s="1" t="s">
        <v>24</v>
      </c>
      <c r="D9" s="1">
        <v>1</v>
      </c>
      <c r="E9" s="2" t="s">
        <v>25</v>
      </c>
      <c r="F9" s="3">
        <v>1.59</v>
      </c>
    </row>
    <row r="10" spans="1:6" x14ac:dyDescent="0.2">
      <c r="A10" s="1">
        <v>9</v>
      </c>
      <c r="B10" s="1" t="s">
        <v>26</v>
      </c>
      <c r="C10" s="1" t="s">
        <v>27</v>
      </c>
      <c r="D10" s="1" t="s">
        <v>28</v>
      </c>
      <c r="E10" s="2" t="s">
        <v>26</v>
      </c>
      <c r="F10" s="3">
        <v>3.79</v>
      </c>
    </row>
    <row r="11" spans="1:6" x14ac:dyDescent="0.2">
      <c r="A11" s="1">
        <v>10</v>
      </c>
      <c r="B11" s="1" t="s">
        <v>29</v>
      </c>
      <c r="C11" s="1" t="s">
        <v>30</v>
      </c>
      <c r="D11" s="1" t="s">
        <v>28</v>
      </c>
      <c r="E11" s="2" t="s">
        <v>29</v>
      </c>
      <c r="F11" s="3">
        <v>4.59</v>
      </c>
    </row>
    <row r="12" spans="1:6" x14ac:dyDescent="0.2">
      <c r="A12" s="1">
        <v>11</v>
      </c>
      <c r="B12" s="1" t="s">
        <v>31</v>
      </c>
      <c r="C12" s="1" t="s">
        <v>32</v>
      </c>
      <c r="D12" s="1" t="s">
        <v>28</v>
      </c>
      <c r="E12" s="2" t="s">
        <v>31</v>
      </c>
      <c r="F12" s="3">
        <v>2.19</v>
      </c>
    </row>
    <row r="13" spans="1:6" x14ac:dyDescent="0.2">
      <c r="A13" s="1">
        <v>12</v>
      </c>
      <c r="B13" s="1" t="s">
        <v>33</v>
      </c>
      <c r="C13" s="1" t="s">
        <v>34</v>
      </c>
      <c r="D13" s="1">
        <v>1</v>
      </c>
      <c r="E13" s="1" t="s">
        <v>35</v>
      </c>
      <c r="F13" s="1" t="s">
        <v>36</v>
      </c>
    </row>
    <row r="14" spans="1:6" x14ac:dyDescent="0.2">
      <c r="E14" s="1" t="s">
        <v>37</v>
      </c>
      <c r="F14" s="3">
        <f>SUM(F2:F13)</f>
        <v>125.68000000000002</v>
      </c>
    </row>
  </sheetData>
  <hyperlinks>
    <hyperlink ref="E2" r:id="rId1" xr:uid="{00000000-0004-0000-0000-000000000000}"/>
    <hyperlink ref="E3" r:id="rId2" location="/couleur-blanc/embout_d_alimentation-europeenne_ue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voici tous le matériel necessai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CHARLES-EDOUARD TEXIER</cp:lastModifiedBy>
  <cp:lastPrinted>2026-01-12T19:21:41Z</cp:lastPrinted>
  <dcterms:modified xsi:type="dcterms:W3CDTF">2026-01-12T19:24:38Z</dcterms:modified>
</cp:coreProperties>
</file>